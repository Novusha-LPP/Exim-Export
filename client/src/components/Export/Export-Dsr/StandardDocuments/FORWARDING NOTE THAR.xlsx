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ipak.ravat\Desktop\HEND OVER\"/>
    </mc:Choice>
  </mc:AlternateContent>
  <bookViews>
    <workbookView xWindow="0" yWindow="0" windowWidth="27945" windowHeight="12330"/>
  </bookViews>
  <sheets>
    <sheet name="CFN" sheetId="1" r:id="rId1"/>
    <sheet name="Sheet2" sheetId="3" r:id="rId2"/>
    <sheet name="Sheet4" sheetId="5" r:id="rId3"/>
    <sheet name="Sheet5" sheetId="6" r:id="rId4"/>
    <sheet name="Sheet1" sheetId="2" state="hidden" r:id="rId5"/>
    <sheet name="Sheet3" sheetId="4" state="hidden" r:id="rId6"/>
  </sheets>
  <definedNames>
    <definedName name="_xlnm.Print_Area" localSheetId="1">Sheet2!$A$2:$I$13</definedName>
  </definedNames>
  <calcPr calcId="162913"/>
</workbook>
</file>

<file path=xl/calcChain.xml><?xml version="1.0" encoding="utf-8"?>
<calcChain xmlns="http://schemas.openxmlformats.org/spreadsheetml/2006/main">
  <c r="F24" i="1" l="1"/>
  <c r="D24" i="1"/>
  <c r="E13" i="3" l="1"/>
  <c r="D13" i="3"/>
</calcChain>
</file>

<file path=xl/sharedStrings.xml><?xml version="1.0" encoding="utf-8"?>
<sst xmlns="http://schemas.openxmlformats.org/spreadsheetml/2006/main" count="206" uniqueCount="149">
  <si>
    <t>HPCSL USE</t>
  </si>
  <si>
    <t>CCN No. &amp; Date :</t>
  </si>
  <si>
    <t>To :</t>
  </si>
  <si>
    <t>Rail Operator (Please Specify)</t>
  </si>
  <si>
    <t>HPCSL</t>
  </si>
  <si>
    <t>HPCSL CONSIGNMENT NOTE</t>
  </si>
  <si>
    <t>To,</t>
  </si>
  <si>
    <t>The Terminal Manager,</t>
  </si>
  <si>
    <t>HPCSL,  The Thar Dry Port, ICD-Sanand</t>
  </si>
  <si>
    <t>Cargo : Non Hazardous</t>
  </si>
  <si>
    <t>Please receive the under mentioned container stuffes at ICD/Factory. We accept the all Transportation and/or provision of Containers of business incidental there to have been under taken by HPSCL-THE THAR DRY PORT on the basis of their standard terms and conditions which have been read by us and understood. No servant or agent of the company has any authority to vary or waive conditions or any part there of.</t>
  </si>
  <si>
    <t xml:space="preserve">Agent/CHA : </t>
  </si>
  <si>
    <t>Country</t>
  </si>
  <si>
    <t>SURAJ FORWARDERS &amp; SHIPPING AGENCIES</t>
  </si>
  <si>
    <t>Name and Address of Exporter :</t>
  </si>
  <si>
    <t>Factory shifting arranged by:HPCSL / SHIPPER Type:LCL/FCL/ODC:Yes/No.Payment Type:PAID / TO PAY</t>
  </si>
  <si>
    <t>Sr No</t>
  </si>
  <si>
    <t>Container No</t>
  </si>
  <si>
    <t>Size</t>
  </si>
  <si>
    <t>No &amp; Type of Pkgs.</t>
  </si>
  <si>
    <t>Description of Goods &amp; H.S CODE</t>
  </si>
  <si>
    <t>Cargo Weight (kgs)</t>
  </si>
  <si>
    <t>Customs Seal No.</t>
  </si>
  <si>
    <t>Shipping Line Seal No.</t>
  </si>
  <si>
    <t>SB NO.:</t>
  </si>
  <si>
    <t>SB DATE</t>
  </si>
  <si>
    <t>I do hereby certify that I have satisfied by self description, marks, quantity, measurement and weight of goods consigned by me have been correctly entered in the note.</t>
  </si>
  <si>
    <t>I hereby certify that the goods described above are in goods order and condition at the time of dispatch.</t>
  </si>
  <si>
    <t>I hereby certify that goods are not classified as dangerous in Indian Railway. Road Tariff of my IMO regulations.</t>
  </si>
  <si>
    <t>It is certify that rated tonnage of the commitment (5) has been exceeded.</t>
  </si>
  <si>
    <t>IF THE CONTAINER WEIGHT, IS NOT SPECIFIED THEIR TARE WEIGHT, IT WILL BE TAKEN AS 2.3 TONS FOR 20' &amp; 4.6 TONS FOR 40'</t>
  </si>
  <si>
    <t>I understand that the principal terms and conditions applying to the carriage of above containers are subject to the conditions and liablities as specified in the Indian Railway Act 1989, as amended from time to time.</t>
  </si>
  <si>
    <t>Remarks, if any (PDA A/C/Cheque No):</t>
  </si>
  <si>
    <t>STAMP AND SIGNATURE</t>
  </si>
  <si>
    <t>OF SHIPPER OR AGENT (CHA)</t>
  </si>
  <si>
    <t>(HPCSL USE ONLY)</t>
  </si>
  <si>
    <t>DATE &amp; TIME OF BOOKING OR (EA) :</t>
  </si>
  <si>
    <t>Nos.</t>
  </si>
  <si>
    <t>CONTAINER NO</t>
  </si>
  <si>
    <t>LINE SEAL</t>
  </si>
  <si>
    <t>CUSTOM SEAL</t>
  </si>
  <si>
    <t>NO OF PACK.</t>
  </si>
  <si>
    <t>GROSS WT</t>
  </si>
  <si>
    <t>NET WT.</t>
  </si>
  <si>
    <t xml:space="preserve">Shipping Bill No &amp; Date:  </t>
  </si>
  <si>
    <t>CXDU1070338</t>
  </si>
  <si>
    <t>IN1216906</t>
  </si>
  <si>
    <t>ENOS02680482</t>
  </si>
  <si>
    <t>TCLU2953519</t>
  </si>
  <si>
    <t>IN1216832</t>
  </si>
  <si>
    <t>ENOS02680483</t>
  </si>
  <si>
    <t>FCIU5363014</t>
  </si>
  <si>
    <t>IN1216833</t>
  </si>
  <si>
    <t>ENOS02680484</t>
  </si>
  <si>
    <t>TCKU2227545</t>
  </si>
  <si>
    <t>IN1216907</t>
  </si>
  <si>
    <t>ENOS02680481</t>
  </si>
  <si>
    <t>TRHU3083100</t>
  </si>
  <si>
    <t>IN1216960</t>
  </si>
  <si>
    <t>ENOS02680520</t>
  </si>
  <si>
    <t>NYKU3934978</t>
  </si>
  <si>
    <t>IN1216958</t>
  </si>
  <si>
    <t>ENOS02680521</t>
  </si>
  <si>
    <t>CAIU3394770</t>
  </si>
  <si>
    <t>IN1216857</t>
  </si>
  <si>
    <t>ENOS02680522</t>
  </si>
  <si>
    <t>SB Number</t>
  </si>
  <si>
    <t>SR NO.</t>
  </si>
  <si>
    <t>CONTAINER NO.</t>
  </si>
  <si>
    <t>SIZE</t>
  </si>
  <si>
    <t>Type</t>
  </si>
  <si>
    <t>LINE</t>
  </si>
  <si>
    <t>BOOKING NO</t>
  </si>
  <si>
    <t>Quantity</t>
  </si>
  <si>
    <t>POL</t>
  </si>
  <si>
    <t>POD</t>
  </si>
  <si>
    <t>SHIPPER </t>
  </si>
  <si>
    <t>CHA</t>
  </si>
  <si>
    <t>EMTY PICKUP LOCATION.</t>
  </si>
  <si>
    <t>AIA ENGINEERING LIMITED</t>
  </si>
  <si>
    <t>SANAND</t>
  </si>
  <si>
    <t>Invoice No</t>
  </si>
  <si>
    <t>Invoice Date</t>
  </si>
  <si>
    <t>SB Date</t>
  </si>
  <si>
    <t>No of Packages </t>
  </si>
  <si>
    <t>Net Weight  Kgs</t>
  </si>
  <si>
    <t>Gross Weight  Kgs</t>
  </si>
  <si>
    <t>Port of Destination</t>
  </si>
  <si>
    <t>LOCATION </t>
  </si>
  <si>
    <t>HAMU1374720</t>
  </si>
  <si>
    <t>HC</t>
  </si>
  <si>
    <t>HAPAG - LLOYD</t>
  </si>
  <si>
    <t>MUNDRA</t>
  </si>
  <si>
    <t xml:space="preserve">CAUCEDO (DOCAU) </t>
  </si>
  <si>
    <t xml:space="preserve">DOMINICANA REPUBLICA </t>
  </si>
  <si>
    <t>TOTOAL</t>
  </si>
  <si>
    <t>100211773 , 100211786</t>
  </si>
  <si>
    <t>10x20'</t>
  </si>
  <si>
    <t>GROSS WT.</t>
  </si>
  <si>
    <t>TEMU4888209</t>
  </si>
  <si>
    <t>OOLKSR6355</t>
  </si>
  <si>
    <t>ENOS03513490</t>
  </si>
  <si>
    <t>OOLU0398273</t>
  </si>
  <si>
    <t>OOLKSR6353</t>
  </si>
  <si>
    <t>ENOS03513491</t>
  </si>
  <si>
    <t>CBHU4467314</t>
  </si>
  <si>
    <t>OOLKSR6354</t>
  </si>
  <si>
    <t>ENOS03513492</t>
  </si>
  <si>
    <t>CSLU1799419</t>
  </si>
  <si>
    <t>OOLKSR6356</t>
  </si>
  <si>
    <t>ENOS03513493</t>
  </si>
  <si>
    <t>FCIU5235857</t>
  </si>
  <si>
    <t>OOLKSR6352  </t>
  </si>
  <si>
    <t>ENOS03513494</t>
  </si>
  <si>
    <t>SEGU2042832</t>
  </si>
  <si>
    <t>OOLKSR8385 </t>
  </si>
  <si>
    <t>ENOS03513514</t>
  </si>
  <si>
    <t>UETU2548058</t>
  </si>
  <si>
    <t>OOLKSR6357</t>
  </si>
  <si>
    <t>ENOS03513515</t>
  </si>
  <si>
    <t>FCIU5420393</t>
  </si>
  <si>
    <t>OOLKSR6358</t>
  </si>
  <si>
    <t>ENOS03513516</t>
  </si>
  <si>
    <t>TGBU3004556</t>
  </si>
  <si>
    <t>OOLKSR6366</t>
  </si>
  <si>
    <t>ENOS03513518</t>
  </si>
  <si>
    <t>FCIU5101610</t>
  </si>
  <si>
    <t>OOLKSR6359</t>
  </si>
  <si>
    <t>ENOS03513517</t>
  </si>
  <si>
    <t>27.11.2025</t>
  </si>
  <si>
    <t>28.11.2025</t>
  </si>
  <si>
    <t>OOLKHH5517</t>
  </si>
  <si>
    <t>Mode By : RAIL</t>
  </si>
  <si>
    <t>Gateway Port:- MUNDRA</t>
  </si>
  <si>
    <t>Stuffing (Please Tick):- ICD STUFFING</t>
  </si>
  <si>
    <t>DATE : 05.01.2026</t>
  </si>
  <si>
    <t>31.12.2025</t>
  </si>
  <si>
    <t>INVOICE NO:- 100212090TO100212095--97-98-99</t>
  </si>
  <si>
    <t>Name of Consignor (S/Line):- 36427502</t>
  </si>
  <si>
    <t>HAPAG-LLOYD INDIA PVT. LTD.</t>
  </si>
  <si>
    <t xml:space="preserve">VESSEL NAME:- HOUSTON EXPRESS VOY. NO: 602W </t>
  </si>
  <si>
    <t>CUT OFF :  10/01</t>
  </si>
  <si>
    <t>United Arab Emirates</t>
  </si>
  <si>
    <t>Port of Discharge:- Rotterdam(NLRTM)</t>
  </si>
  <si>
    <t xml:space="preserve">F.O.B./C.I.F. Value (Rs.) </t>
  </si>
  <si>
    <t>FBIU0443959</t>
  </si>
  <si>
    <t>BLOW BAR - PARTS (MACHINERY) 84749000</t>
  </si>
  <si>
    <t>HLK256567</t>
  </si>
  <si>
    <t>PDA/PDC OF HAPAG-LLOYD INDIA PVT.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</si>
</sst>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1"/>
      <color theme="1"/>
      <name val="Calibri"/>
      <charset val="134"/>
      <scheme val="minor"/>
    </font>
    <font>
      <sz val="12"/>
      <color theme="1"/>
      <name val="Arial Black"/>
      <family val="2"/>
    </font>
    <font>
      <b/>
      <sz val="11"/>
      <color theme="1"/>
      <name val="Calibri"/>
      <family val="2"/>
      <scheme val="minor"/>
    </font>
    <font>
      <u/>
      <sz val="11"/>
      <color theme="1"/>
      <name val="Arial Black"/>
      <family val="2"/>
    </font>
    <font>
      <sz val="11"/>
      <color theme="1"/>
      <name val="Arial Black"/>
      <family val="2"/>
    </font>
    <font>
      <b/>
      <sz val="12"/>
      <color theme="1"/>
      <name val="Calibri"/>
      <family val="2"/>
      <scheme val="minor"/>
    </font>
    <font>
      <b/>
      <sz val="11"/>
      <color theme="1"/>
      <name val="Arial Narrow"/>
      <family val="2"/>
    </font>
    <font>
      <b/>
      <sz val="16"/>
      <color theme="1"/>
      <name val="Calibri"/>
      <family val="2"/>
      <scheme val="minor"/>
    </font>
    <font>
      <sz val="13.5"/>
      <color rgb="FF0000FF"/>
      <name val="Trebuchet MS"/>
      <family val="2"/>
    </font>
    <font>
      <b/>
      <sz val="11"/>
      <color rgb="FF000000"/>
      <name val="Calibri"/>
      <family val="2"/>
      <scheme val="minor"/>
    </font>
    <font>
      <b/>
      <sz val="12"/>
      <color rgb="FF000000"/>
      <name val="Trebuchet MS"/>
      <family val="2"/>
    </font>
    <font>
      <b/>
      <sz val="10"/>
      <color theme="1"/>
      <name val="Arial Black"/>
      <family val="2"/>
    </font>
    <font>
      <sz val="11"/>
      <color rgb="FF000000"/>
      <name val="Calibri"/>
      <family val="2"/>
      <scheme val="minor"/>
    </font>
    <font>
      <b/>
      <sz val="12"/>
      <color rgb="FF000000"/>
      <name val="Calibri"/>
      <family val="2"/>
      <scheme val="minor"/>
    </font>
    <font>
      <b/>
      <sz val="12"/>
      <color rgb="FF974706"/>
      <name val="Calibri"/>
      <family val="2"/>
      <scheme val="minor"/>
    </font>
    <font>
      <b/>
      <sz val="12"/>
      <color rgb="FF974807"/>
      <name val="Calibri"/>
      <family val="2"/>
      <scheme val="minor"/>
    </font>
    <font>
      <b/>
      <sz val="11"/>
      <color rgb="FFFFFF00"/>
      <name val="Calibri"/>
      <family val="2"/>
      <scheme val="minor"/>
    </font>
    <font>
      <b/>
      <sz val="11"/>
      <color rgb="FF028458"/>
      <name val="Calibri"/>
      <family val="2"/>
      <scheme val="minor"/>
    </font>
    <font>
      <sz val="12"/>
      <color theme="1"/>
      <name val="Calibri"/>
      <family val="2"/>
      <scheme val="minor"/>
    </font>
    <font>
      <sz val="16"/>
      <color theme="1"/>
      <name val="Calibri"/>
      <family val="2"/>
      <scheme val="minor"/>
    </font>
    <font>
      <b/>
      <sz val="16"/>
      <color rgb="FF000000"/>
      <name val="Times New Roman"/>
      <family val="1"/>
    </font>
    <font>
      <sz val="11"/>
      <color rgb="FF000000"/>
      <name val="Calibri"/>
      <family val="2"/>
      <scheme val="minor"/>
    </font>
    <font>
      <sz val="12"/>
      <color rgb="FF000000"/>
      <name val="Times New Roman"/>
      <family val="1"/>
    </font>
    <font>
      <sz val="11"/>
      <color rgb="FF000000"/>
      <name val="Calibri"/>
      <family val="2"/>
    </font>
  </fonts>
  <fills count="6">
    <fill>
      <patternFill patternType="none"/>
    </fill>
    <fill>
      <patternFill patternType="gray125"/>
    </fill>
    <fill>
      <patternFill patternType="solid">
        <fgColor rgb="FFFFFF00"/>
        <bgColor indexed="64"/>
      </patternFill>
    </fill>
    <fill>
      <patternFill patternType="solid">
        <fgColor rgb="FFFCE4D6"/>
        <bgColor indexed="64"/>
      </patternFill>
    </fill>
    <fill>
      <patternFill patternType="solid">
        <fgColor rgb="FF0F243E"/>
        <bgColor indexed="64"/>
      </patternFill>
    </fill>
    <fill>
      <patternFill patternType="solid">
        <fgColor rgb="FFFFFFFF"/>
        <bgColor indexed="64"/>
      </patternFill>
    </fill>
  </fills>
  <borders count="2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rgb="FF000000"/>
      </right>
      <top/>
      <bottom style="medium">
        <color rgb="FF000000"/>
      </bottom>
      <diagonal/>
    </border>
    <border>
      <left/>
      <right/>
      <top style="medium">
        <color auto="1"/>
      </top>
      <bottom style="thin">
        <color indexed="64"/>
      </bottom>
      <diagonal/>
    </border>
    <border>
      <left/>
      <right style="thin">
        <color indexed="64"/>
      </right>
      <top style="medium">
        <color auto="1"/>
      </top>
      <bottom style="thin">
        <color indexed="64"/>
      </bottom>
      <diagonal/>
    </border>
  </borders>
  <cellStyleXfs count="1">
    <xf numFmtId="0" fontId="0" fillId="0" borderId="0"/>
  </cellStyleXfs>
  <cellXfs count="121">
    <xf numFmtId="0" fontId="0" fillId="0" borderId="0" xfId="0"/>
    <xf numFmtId="0" fontId="0" fillId="0" borderId="1" xfId="0" applyBorder="1"/>
    <xf numFmtId="0" fontId="0" fillId="0" borderId="2" xfId="0" applyBorder="1"/>
    <xf numFmtId="0" fontId="0" fillId="0" borderId="5" xfId="0" applyBorder="1"/>
    <xf numFmtId="0" fontId="0" fillId="0" borderId="0" xfId="0" applyBorder="1"/>
    <xf numFmtId="0" fontId="2" fillId="0" borderId="5" xfId="0" applyFont="1" applyBorder="1"/>
    <xf numFmtId="0" fontId="5" fillId="0" borderId="0" xfId="0" applyFont="1" applyBorder="1"/>
    <xf numFmtId="0" fontId="2" fillId="0" borderId="1" xfId="0" applyFont="1" applyBorder="1" applyAlignment="1"/>
    <xf numFmtId="0" fontId="2" fillId="0" borderId="2" xfId="0" applyFont="1" applyBorder="1" applyAlignment="1"/>
    <xf numFmtId="0" fontId="2" fillId="0" borderId="2" xfId="0" applyFont="1" applyBorder="1" applyAlignment="1">
      <alignment horizontal="left"/>
    </xf>
    <xf numFmtId="0" fontId="2" fillId="0" borderId="1" xfId="0" applyFont="1" applyBorder="1"/>
    <xf numFmtId="0" fontId="2" fillId="0" borderId="10" xfId="0" applyFont="1" applyBorder="1" applyAlignment="1">
      <alignment horizontal="left"/>
    </xf>
    <xf numFmtId="0" fontId="2" fillId="0" borderId="11" xfId="0" applyFont="1" applyBorder="1" applyAlignment="1">
      <alignment horizontal="left"/>
    </xf>
    <xf numFmtId="0" fontId="0" fillId="0" borderId="12" xfId="0" applyBorder="1"/>
    <xf numFmtId="0" fontId="2" fillId="0" borderId="10" xfId="0" applyFont="1" applyBorder="1"/>
    <xf numFmtId="0" fontId="0" fillId="0" borderId="11" xfId="0" applyBorder="1"/>
    <xf numFmtId="0" fontId="0" fillId="0" borderId="3" xfId="0" applyBorder="1"/>
    <xf numFmtId="0" fontId="2" fillId="0" borderId="1" xfId="0" applyFont="1" applyBorder="1" applyAlignment="1">
      <alignment vertical="center"/>
    </xf>
    <xf numFmtId="0" fontId="0" fillId="2" borderId="2" xfId="0" applyFont="1" applyFill="1" applyBorder="1"/>
    <xf numFmtId="0" fontId="0" fillId="0" borderId="2" xfId="0" applyBorder="1" applyAlignment="1"/>
    <xf numFmtId="0" fontId="2" fillId="0" borderId="1" xfId="0" applyFont="1" applyBorder="1" applyAlignment="1">
      <alignment vertical="top"/>
    </xf>
    <xf numFmtId="0" fontId="2" fillId="0" borderId="5" xfId="0" applyFont="1" applyBorder="1" applyAlignment="1">
      <alignment horizontal="left" vertical="top"/>
    </xf>
    <xf numFmtId="0" fontId="2" fillId="0" borderId="0" xfId="0" applyFont="1" applyBorder="1" applyAlignment="1">
      <alignment horizontal="left" vertical="top" wrapText="1"/>
    </xf>
    <xf numFmtId="0" fontId="2" fillId="0" borderId="6" xfId="0" applyFont="1" applyBorder="1" applyAlignment="1">
      <alignment horizontal="left" vertical="top" wrapText="1"/>
    </xf>
    <xf numFmtId="0" fontId="2" fillId="0" borderId="5" xfId="0" applyFont="1" applyBorder="1" applyAlignment="1">
      <alignment vertical="top"/>
    </xf>
    <xf numFmtId="0" fontId="2" fillId="0" borderId="4" xfId="0" applyFont="1" applyBorder="1" applyAlignment="1">
      <alignment vertical="center"/>
    </xf>
    <xf numFmtId="0" fontId="0" fillId="0" borderId="13" xfId="0" applyBorder="1" applyAlignment="1">
      <alignment vertical="center"/>
    </xf>
    <xf numFmtId="0" fontId="0" fillId="0" borderId="13" xfId="0" applyBorder="1"/>
    <xf numFmtId="0" fontId="6" fillId="0" borderId="4" xfId="0" applyFont="1" applyBorder="1" applyAlignment="1"/>
    <xf numFmtId="0" fontId="6" fillId="0" borderId="13" xfId="0" applyFont="1" applyBorder="1" applyAlignment="1"/>
    <xf numFmtId="0" fontId="2" fillId="0" borderId="7" xfId="0" applyFont="1" applyBorder="1" applyAlignment="1">
      <alignment horizontal="center" vertical="top"/>
    </xf>
    <xf numFmtId="0" fontId="2" fillId="0" borderId="7" xfId="0" applyFont="1" applyFill="1" applyBorder="1" applyAlignment="1">
      <alignment horizontal="center" vertical="top"/>
    </xf>
    <xf numFmtId="0" fontId="7" fillId="0" borderId="5" xfId="0" applyFont="1" applyBorder="1"/>
    <xf numFmtId="0" fontId="2" fillId="0" borderId="2" xfId="0" applyFont="1" applyBorder="1"/>
    <xf numFmtId="0" fontId="2" fillId="0" borderId="11" xfId="0" applyFont="1" applyBorder="1"/>
    <xf numFmtId="0" fontId="0" fillId="0" borderId="10" xfId="0" applyBorder="1"/>
    <xf numFmtId="0" fontId="8" fillId="0" borderId="0" xfId="0" applyFont="1" applyBorder="1" applyAlignment="1">
      <alignment vertical="center"/>
    </xf>
    <xf numFmtId="0" fontId="10" fillId="0" borderId="0" xfId="0" applyFont="1"/>
    <xf numFmtId="0" fontId="0" fillId="0" borderId="6" xfId="0" applyBorder="1"/>
    <xf numFmtId="0" fontId="2" fillId="0" borderId="6" xfId="0" applyFont="1" applyBorder="1" applyAlignment="1">
      <alignment horizontal="right"/>
    </xf>
    <xf numFmtId="0" fontId="2" fillId="0" borderId="1" xfId="0" applyFont="1" applyBorder="1" applyAlignment="1">
      <alignment horizontal="left"/>
    </xf>
    <xf numFmtId="0" fontId="0" fillId="0" borderId="3" xfId="0" applyBorder="1" applyAlignment="1"/>
    <xf numFmtId="0" fontId="0" fillId="0" borderId="14" xfId="0" applyBorder="1"/>
    <xf numFmtId="0" fontId="6" fillId="0" borderId="14" xfId="0" applyFont="1" applyBorder="1" applyAlignment="1"/>
    <xf numFmtId="0" fontId="11" fillId="0" borderId="3" xfId="0" applyFont="1" applyBorder="1" applyAlignment="1">
      <alignment horizontal="right"/>
    </xf>
    <xf numFmtId="0" fontId="2" fillId="0" borderId="0" xfId="0" applyFont="1" applyBorder="1"/>
    <xf numFmtId="0" fontId="2" fillId="0" borderId="12" xfId="0" applyFont="1" applyBorder="1" applyAlignment="1">
      <alignment horizontal="right"/>
    </xf>
    <xf numFmtId="0" fontId="2" fillId="0" borderId="3" xfId="0" applyFont="1" applyBorder="1"/>
    <xf numFmtId="0" fontId="2" fillId="0" borderId="12" xfId="0" applyFont="1" applyBorder="1"/>
    <xf numFmtId="0" fontId="2" fillId="0" borderId="7" xfId="0" applyFont="1" applyBorder="1" applyAlignment="1">
      <alignment horizontal="center" vertical="center" wrapText="1"/>
    </xf>
    <xf numFmtId="0" fontId="2" fillId="0" borderId="7"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12" fillId="3" borderId="9" xfId="0" applyFont="1" applyFill="1" applyBorder="1" applyAlignment="1">
      <alignment horizontal="center" vertical="center"/>
    </xf>
    <xf numFmtId="0" fontId="12" fillId="3" borderId="12" xfId="0" applyFont="1" applyFill="1" applyBorder="1" applyAlignment="1">
      <alignment horizontal="center" vertical="center"/>
    </xf>
    <xf numFmtId="0" fontId="13" fillId="2" borderId="15"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14" fillId="2" borderId="18" xfId="0" applyFont="1" applyFill="1" applyBorder="1" applyAlignment="1">
      <alignment horizontal="center" vertical="center" wrapText="1"/>
    </xf>
    <xf numFmtId="0" fontId="15" fillId="0" borderId="18" xfId="0" applyFont="1" applyBorder="1" applyAlignment="1">
      <alignment horizontal="center" vertical="center" wrapText="1"/>
    </xf>
    <xf numFmtId="0" fontId="16" fillId="4" borderId="17" xfId="0" applyFont="1" applyFill="1" applyBorder="1" applyAlignment="1">
      <alignment horizontal="center" vertical="center" wrapText="1"/>
    </xf>
    <xf numFmtId="0" fontId="16" fillId="4" borderId="18" xfId="0" applyFont="1" applyFill="1" applyBorder="1" applyAlignment="1">
      <alignment horizontal="center" vertical="center" wrapText="1"/>
    </xf>
    <xf numFmtId="0" fontId="13" fillId="0" borderId="0" xfId="0" applyFont="1" applyAlignment="1">
      <alignment horizontal="center" vertical="center" wrapText="1"/>
    </xf>
    <xf numFmtId="0" fontId="17" fillId="0" borderId="17" xfId="0" applyFont="1" applyBorder="1" applyAlignment="1">
      <alignment horizontal="center" vertical="center" wrapText="1"/>
    </xf>
    <xf numFmtId="15" fontId="17" fillId="0" borderId="18" xfId="0" applyNumberFormat="1" applyFont="1" applyBorder="1" applyAlignment="1">
      <alignment horizontal="center" vertical="center" wrapText="1"/>
    </xf>
    <xf numFmtId="0" fontId="17" fillId="0" borderId="18" xfId="0" applyFont="1" applyBorder="1" applyAlignment="1">
      <alignment horizontal="center" vertical="center" wrapText="1"/>
    </xf>
    <xf numFmtId="0" fontId="18" fillId="0" borderId="0" xfId="0" applyFont="1"/>
    <xf numFmtId="0" fontId="19" fillId="0" borderId="0" xfId="0" applyFont="1"/>
    <xf numFmtId="0" fontId="20" fillId="0" borderId="15" xfId="0" applyFont="1" applyBorder="1" applyAlignment="1">
      <alignment horizontal="center" vertical="center"/>
    </xf>
    <xf numFmtId="0" fontId="21" fillId="3" borderId="9" xfId="0" applyFont="1" applyFill="1" applyBorder="1" applyAlignment="1">
      <alignment horizontal="center" vertical="center"/>
    </xf>
    <xf numFmtId="0" fontId="21" fillId="3" borderId="12" xfId="0" applyFont="1" applyFill="1" applyBorder="1" applyAlignment="1">
      <alignment horizontal="center" vertical="center"/>
    </xf>
    <xf numFmtId="0" fontId="21" fillId="5" borderId="9" xfId="0" applyFont="1" applyFill="1" applyBorder="1" applyAlignment="1">
      <alignment horizontal="center" vertical="center"/>
    </xf>
    <xf numFmtId="0" fontId="21" fillId="0" borderId="12" xfId="0" applyFont="1" applyBorder="1" applyAlignment="1">
      <alignment horizontal="center" vertical="center"/>
    </xf>
    <xf numFmtId="0" fontId="21" fillId="0" borderId="9" xfId="0" applyFont="1" applyBorder="1" applyAlignment="1">
      <alignment horizontal="center" vertical="center"/>
    </xf>
    <xf numFmtId="0" fontId="2" fillId="0" borderId="5" xfId="0" applyFont="1" applyBorder="1" applyAlignment="1">
      <alignment vertical="center"/>
    </xf>
    <xf numFmtId="0" fontId="0" fillId="2" borderId="0" xfId="0" applyFont="1" applyFill="1" applyBorder="1"/>
    <xf numFmtId="0" fontId="0" fillId="0" borderId="0" xfId="0" applyBorder="1" applyAlignment="1"/>
    <xf numFmtId="0" fontId="0" fillId="0" borderId="6" xfId="0" applyBorder="1" applyAlignment="1"/>
    <xf numFmtId="0" fontId="0" fillId="0" borderId="0" xfId="0" applyAlignment="1">
      <alignment wrapText="1"/>
    </xf>
    <xf numFmtId="0" fontId="12" fillId="0" borderId="19" xfId="0" applyFont="1" applyBorder="1" applyAlignment="1">
      <alignment horizontal="center" vertical="center" wrapText="1"/>
    </xf>
    <xf numFmtId="0" fontId="9" fillId="0" borderId="12" xfId="0" applyFont="1" applyBorder="1" applyAlignment="1">
      <alignment horizontal="center" vertical="center"/>
    </xf>
    <xf numFmtId="0" fontId="2" fillId="0" borderId="1" xfId="0" applyFont="1" applyBorder="1" applyAlignment="1">
      <alignment horizontal="center" vertical="center"/>
    </xf>
    <xf numFmtId="0" fontId="0" fillId="5" borderId="0" xfId="0" applyFill="1"/>
    <xf numFmtId="0" fontId="22" fillId="5" borderId="16" xfId="0" applyFont="1" applyFill="1" applyBorder="1" applyAlignment="1">
      <alignment horizontal="center" vertical="center" wrapText="1"/>
    </xf>
    <xf numFmtId="0" fontId="22" fillId="3" borderId="17" xfId="0" applyFont="1" applyFill="1" applyBorder="1" applyAlignment="1">
      <alignment horizontal="center" vertical="center" wrapText="1"/>
    </xf>
    <xf numFmtId="0" fontId="22" fillId="3" borderId="18" xfId="0" applyFont="1" applyFill="1" applyBorder="1" applyAlignment="1">
      <alignment horizontal="center" vertical="center" wrapText="1"/>
    </xf>
    <xf numFmtId="0" fontId="22" fillId="5" borderId="17" xfId="0" applyFont="1" applyFill="1" applyBorder="1" applyAlignment="1">
      <alignment horizontal="center" vertical="center" wrapText="1"/>
    </xf>
    <xf numFmtId="0" fontId="23" fillId="5" borderId="18" xfId="0" applyFont="1" applyFill="1" applyBorder="1" applyAlignment="1">
      <alignment horizontal="center" wrapText="1"/>
    </xf>
    <xf numFmtId="0" fontId="23" fillId="5" borderId="0" xfId="0" applyFont="1" applyFill="1" applyAlignment="1">
      <alignment wrapText="1"/>
    </xf>
    <xf numFmtId="0" fontId="23" fillId="5" borderId="17" xfId="0" applyFont="1" applyFill="1" applyBorder="1" applyAlignment="1">
      <alignment horizontal="center" wrapText="1"/>
    </xf>
    <xf numFmtId="0" fontId="23" fillId="5" borderId="18" xfId="0" applyFont="1" applyFill="1" applyBorder="1" applyAlignment="1">
      <alignment horizontal="center" vertical="center" wrapText="1"/>
    </xf>
    <xf numFmtId="0" fontId="23" fillId="5" borderId="16" xfId="0" applyFont="1" applyFill="1" applyBorder="1" applyAlignment="1">
      <alignment horizontal="center" vertical="center" wrapText="1"/>
    </xf>
    <xf numFmtId="0" fontId="22" fillId="5" borderId="18"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justify" vertical="center" wrapText="1"/>
    </xf>
    <xf numFmtId="0" fontId="9" fillId="0" borderId="0" xfId="0" applyFont="1" applyBorder="1" applyAlignment="1">
      <alignment horizontal="center" vertical="center" wrapText="1"/>
    </xf>
    <xf numFmtId="0" fontId="2" fillId="0" borderId="7" xfId="0" applyFont="1" applyBorder="1" applyAlignment="1">
      <alignment horizontal="justify" vertical="center"/>
    </xf>
    <xf numFmtId="0" fontId="8" fillId="0" borderId="0" xfId="0" applyFont="1" applyAlignment="1">
      <alignment vertical="center"/>
    </xf>
    <xf numFmtId="0" fontId="4" fillId="0" borderId="0" xfId="0" applyFont="1" applyBorder="1" applyAlignment="1">
      <alignment horizontal="center"/>
    </xf>
    <xf numFmtId="0" fontId="2" fillId="0" borderId="5" xfId="0" applyFont="1" applyBorder="1" applyAlignment="1">
      <alignment horizontal="justify" vertical="top" wrapText="1"/>
    </xf>
    <xf numFmtId="0" fontId="2" fillId="0" borderId="0" xfId="0" applyFont="1" applyBorder="1" applyAlignment="1">
      <alignment horizontal="justify" vertical="top" wrapText="1"/>
    </xf>
    <xf numFmtId="0" fontId="2" fillId="0" borderId="6" xfId="0" applyFont="1" applyBorder="1" applyAlignment="1">
      <alignment horizontal="justify"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2" fillId="0" borderId="0" xfId="0" applyFont="1" applyBorder="1" applyAlignment="1">
      <alignment horizontal="center"/>
    </xf>
    <xf numFmtId="0" fontId="2" fillId="0" borderId="6" xfId="0" applyFont="1" applyBorder="1" applyAlignment="1">
      <alignment horizontal="center"/>
    </xf>
    <xf numFmtId="0" fontId="0" fillId="0" borderId="7" xfId="0" applyBorder="1" applyAlignment="1">
      <alignment horizontal="left"/>
    </xf>
    <xf numFmtId="0" fontId="1" fillId="0" borderId="2" xfId="0" applyFont="1" applyBorder="1" applyAlignment="1">
      <alignment horizontal="center"/>
    </xf>
    <xf numFmtId="0" fontId="1" fillId="0" borderId="3" xfId="0" applyFont="1" applyBorder="1" applyAlignment="1">
      <alignment horizontal="center"/>
    </xf>
    <xf numFmtId="0" fontId="0" fillId="0" borderId="7" xfId="0" applyBorder="1" applyAlignment="1">
      <alignment horizontal="center"/>
    </xf>
    <xf numFmtId="0" fontId="3" fillId="0" borderId="0" xfId="0" applyFont="1" applyBorder="1" applyAlignment="1">
      <alignment horizontal="center"/>
    </xf>
    <xf numFmtId="0" fontId="3" fillId="0" borderId="6" xfId="0" applyFont="1" applyBorder="1" applyAlignment="1">
      <alignment horizont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2" fillId="5" borderId="20" xfId="0" applyFont="1" applyFill="1" applyBorder="1" applyAlignment="1">
      <alignment horizontal="center" vertical="center" wrapText="1"/>
    </xf>
    <xf numFmtId="0" fontId="22" fillId="5" borderId="2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941866</xdr:colOff>
      <xdr:row>3</xdr:row>
      <xdr:rowOff>182509</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2903855" cy="8750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9"/>
  <sheetViews>
    <sheetView showGridLines="0" tabSelected="1" view="pageBreakPreview" zoomScale="115" zoomScaleNormal="100" zoomScaleSheetLayoutView="115" workbookViewId="0">
      <selection activeCell="K12" sqref="K12"/>
    </sheetView>
  </sheetViews>
  <sheetFormatPr defaultColWidth="9" defaultRowHeight="15"/>
  <cols>
    <col min="1" max="1" width="3.5703125" customWidth="1"/>
    <col min="2" max="2" width="15.140625" customWidth="1"/>
    <col min="3" max="3" width="5.28515625" customWidth="1"/>
    <col min="4" max="4" width="5.42578125" customWidth="1"/>
    <col min="5" max="5" width="20" customWidth="1"/>
    <col min="6" max="6" width="10.85546875" customWidth="1"/>
    <col min="7" max="7" width="14.7109375" customWidth="1"/>
    <col min="8" max="8" width="16.140625" bestFit="1" customWidth="1"/>
    <col min="9" max="9" width="17.140625" customWidth="1"/>
    <col min="10" max="10" width="17.7109375" customWidth="1"/>
  </cols>
  <sheetData>
    <row r="1" spans="1:10" ht="20.25" thickBot="1">
      <c r="A1" s="1"/>
      <c r="B1" s="2"/>
      <c r="C1" s="112"/>
      <c r="D1" s="112"/>
      <c r="E1" s="112"/>
      <c r="F1" s="112"/>
      <c r="G1" s="113"/>
      <c r="H1" s="106" t="s">
        <v>0</v>
      </c>
      <c r="I1" s="107"/>
      <c r="J1" s="108"/>
    </row>
    <row r="2" spans="1:10" ht="16.5" customHeight="1" thickBot="1">
      <c r="A2" s="3"/>
      <c r="B2" s="4"/>
      <c r="C2" s="109"/>
      <c r="D2" s="109"/>
      <c r="E2" s="109"/>
      <c r="F2" s="109"/>
      <c r="G2" s="110"/>
      <c r="H2" s="111" t="s">
        <v>1</v>
      </c>
      <c r="I2" s="111"/>
      <c r="J2" s="111"/>
    </row>
    <row r="3" spans="1:10" ht="15.75" thickBot="1">
      <c r="A3" s="3"/>
      <c r="B3" s="4"/>
      <c r="C3" s="109"/>
      <c r="D3" s="109"/>
      <c r="E3" s="109"/>
      <c r="F3" s="109"/>
      <c r="G3" s="110"/>
      <c r="H3" s="111" t="s">
        <v>2</v>
      </c>
      <c r="I3" s="111"/>
      <c r="J3" s="111"/>
    </row>
    <row r="4" spans="1:10" ht="15.75" thickBot="1">
      <c r="A4" s="3"/>
      <c r="B4" s="4"/>
      <c r="C4" s="109"/>
      <c r="D4" s="109"/>
      <c r="E4" s="109"/>
      <c r="F4" s="109"/>
      <c r="G4" s="110"/>
      <c r="H4" s="114" t="s">
        <v>3</v>
      </c>
      <c r="I4" s="114"/>
      <c r="J4" s="114"/>
    </row>
    <row r="5" spans="1:10" ht="15.75" thickBot="1">
      <c r="A5" s="3"/>
      <c r="B5" s="4"/>
      <c r="C5" s="4"/>
      <c r="D5" s="4"/>
      <c r="E5" s="4"/>
      <c r="F5" s="4"/>
      <c r="G5" s="4"/>
      <c r="H5" s="117" t="s">
        <v>4</v>
      </c>
      <c r="I5" s="114"/>
      <c r="J5" s="114"/>
    </row>
    <row r="6" spans="1:10" ht="19.5" thickBot="1">
      <c r="A6" s="3"/>
      <c r="B6" s="4"/>
      <c r="C6" s="115" t="s">
        <v>5</v>
      </c>
      <c r="D6" s="115"/>
      <c r="E6" s="115"/>
      <c r="F6" s="115"/>
      <c r="G6" s="116"/>
      <c r="H6" s="118"/>
      <c r="I6" s="114"/>
      <c r="J6" s="114"/>
    </row>
    <row r="7" spans="1:10" ht="18.75">
      <c r="A7" s="3"/>
      <c r="B7" s="4"/>
      <c r="C7" s="99" t="s">
        <v>132</v>
      </c>
      <c r="D7" s="99"/>
      <c r="E7" s="99"/>
      <c r="F7" s="99"/>
      <c r="G7" s="99"/>
      <c r="H7" s="4"/>
      <c r="I7" s="4"/>
      <c r="J7" s="38"/>
    </row>
    <row r="8" spans="1:10" ht="15.75">
      <c r="A8" s="5" t="s">
        <v>6</v>
      </c>
      <c r="B8" s="4"/>
      <c r="E8" s="6" t="s">
        <v>137</v>
      </c>
      <c r="F8" s="4"/>
      <c r="G8" s="4"/>
      <c r="H8" s="4"/>
      <c r="I8" s="4"/>
      <c r="J8" s="38"/>
    </row>
    <row r="9" spans="1:10">
      <c r="A9" s="5" t="s">
        <v>7</v>
      </c>
      <c r="B9" s="4"/>
      <c r="C9" s="4"/>
      <c r="D9" s="4"/>
      <c r="E9" s="4"/>
      <c r="F9" s="4"/>
      <c r="G9" s="4"/>
      <c r="H9" s="4"/>
      <c r="I9" s="4"/>
      <c r="J9" s="38"/>
    </row>
    <row r="10" spans="1:10">
      <c r="A10" s="5" t="s">
        <v>8</v>
      </c>
      <c r="B10" s="4"/>
      <c r="C10" s="4"/>
      <c r="D10" s="4"/>
      <c r="E10" s="4"/>
      <c r="F10" s="4"/>
      <c r="G10" s="4"/>
      <c r="H10" s="4"/>
      <c r="I10" s="4"/>
      <c r="J10" s="39" t="s">
        <v>9</v>
      </c>
    </row>
    <row r="11" spans="1:10" ht="62.25" customHeight="1" thickBot="1">
      <c r="A11" s="100" t="s">
        <v>10</v>
      </c>
      <c r="B11" s="101"/>
      <c r="C11" s="101"/>
      <c r="D11" s="101"/>
      <c r="E11" s="101"/>
      <c r="F11" s="101"/>
      <c r="G11" s="101"/>
      <c r="H11" s="101"/>
      <c r="I11" s="101"/>
      <c r="J11" s="102"/>
    </row>
    <row r="12" spans="1:10">
      <c r="A12" s="7" t="s">
        <v>138</v>
      </c>
      <c r="B12" s="8"/>
      <c r="C12" s="8"/>
      <c r="D12" s="8"/>
      <c r="E12" s="9"/>
      <c r="F12" s="10" t="s">
        <v>140</v>
      </c>
      <c r="G12" s="2"/>
      <c r="H12" s="2"/>
      <c r="I12" s="2"/>
      <c r="J12" s="16"/>
    </row>
    <row r="13" spans="1:10" ht="15.75" thickBot="1">
      <c r="A13" s="11" t="s">
        <v>139</v>
      </c>
      <c r="B13" s="12"/>
      <c r="C13" s="12"/>
      <c r="D13" s="12"/>
      <c r="E13" s="13"/>
      <c r="F13" s="14"/>
      <c r="G13" s="15"/>
      <c r="H13" s="15"/>
      <c r="I13" s="15"/>
      <c r="J13" s="13"/>
    </row>
    <row r="14" spans="1:10">
      <c r="A14" s="10" t="s">
        <v>11</v>
      </c>
      <c r="B14" s="2"/>
      <c r="C14" s="2"/>
      <c r="D14" s="2"/>
      <c r="E14" s="16"/>
      <c r="F14" s="10" t="s">
        <v>141</v>
      </c>
      <c r="G14" s="2"/>
      <c r="H14" s="16"/>
      <c r="I14" s="40" t="s">
        <v>12</v>
      </c>
      <c r="J14" s="16"/>
    </row>
    <row r="15" spans="1:10" ht="15.75" thickBot="1">
      <c r="A15" s="14" t="s">
        <v>13</v>
      </c>
      <c r="B15" s="15"/>
      <c r="C15" s="15"/>
      <c r="D15" s="15"/>
      <c r="E15" s="15"/>
      <c r="F15" s="14"/>
      <c r="G15" s="15"/>
      <c r="H15" s="15"/>
      <c r="I15" s="11" t="s">
        <v>142</v>
      </c>
      <c r="J15" s="13"/>
    </row>
    <row r="16" spans="1:10">
      <c r="A16" s="10" t="s">
        <v>14</v>
      </c>
      <c r="B16" s="2"/>
      <c r="C16" s="2"/>
      <c r="D16" s="2"/>
      <c r="E16" s="16"/>
      <c r="F16" s="17" t="s">
        <v>133</v>
      </c>
      <c r="G16" s="18"/>
      <c r="H16" s="19"/>
      <c r="I16" s="19"/>
      <c r="J16" s="41"/>
    </row>
    <row r="17" spans="1:14" ht="15.75" thickBot="1">
      <c r="A17" s="5" t="s">
        <v>79</v>
      </c>
      <c r="B17" s="4"/>
      <c r="C17" s="4"/>
      <c r="D17" s="4"/>
      <c r="E17" s="4"/>
      <c r="F17" s="75"/>
      <c r="G17" s="76"/>
      <c r="H17" s="77"/>
      <c r="I17" s="77"/>
      <c r="J17" s="78"/>
    </row>
    <row r="18" spans="1:14">
      <c r="A18" s="103" t="s">
        <v>44</v>
      </c>
      <c r="B18" s="104"/>
      <c r="C18" s="104"/>
      <c r="D18" s="104"/>
      <c r="E18" s="105"/>
      <c r="F18" s="20" t="s">
        <v>143</v>
      </c>
      <c r="G18" s="2"/>
      <c r="H18" s="2"/>
      <c r="I18" s="2"/>
      <c r="J18" s="16"/>
    </row>
    <row r="19" spans="1:14" ht="15.75" thickBot="1">
      <c r="A19" s="21"/>
      <c r="B19" s="22"/>
      <c r="C19" s="22"/>
      <c r="D19" s="22"/>
      <c r="E19" s="23"/>
      <c r="F19" s="24"/>
      <c r="G19" s="4"/>
      <c r="H19" s="4"/>
      <c r="I19" s="4"/>
      <c r="J19" s="38"/>
    </row>
    <row r="20" spans="1:14" ht="15.75" thickBot="1">
      <c r="A20" s="17" t="s">
        <v>134</v>
      </c>
      <c r="B20" s="2"/>
      <c r="C20" s="2"/>
      <c r="D20" s="2"/>
      <c r="E20" s="16"/>
      <c r="F20" s="25" t="s">
        <v>144</v>
      </c>
      <c r="G20" s="26"/>
      <c r="H20" s="27"/>
      <c r="I20" s="27"/>
      <c r="J20" s="42"/>
    </row>
    <row r="21" spans="1:14" ht="17.25" thickBot="1">
      <c r="A21" s="28" t="s">
        <v>15</v>
      </c>
      <c r="B21" s="29"/>
      <c r="C21" s="29"/>
      <c r="D21" s="29"/>
      <c r="E21" s="29"/>
      <c r="F21" s="29"/>
      <c r="G21" s="29"/>
      <c r="H21" s="29"/>
      <c r="I21" s="29"/>
      <c r="J21" s="43"/>
    </row>
    <row r="22" spans="1:14" ht="59.25" customHeight="1" thickBot="1">
      <c r="A22" s="49" t="s">
        <v>16</v>
      </c>
      <c r="B22" s="49" t="s">
        <v>17</v>
      </c>
      <c r="C22" s="49" t="s">
        <v>18</v>
      </c>
      <c r="D22" s="49" t="s">
        <v>19</v>
      </c>
      <c r="E22" s="49" t="s">
        <v>20</v>
      </c>
      <c r="F22" s="49" t="s">
        <v>21</v>
      </c>
      <c r="G22" s="49" t="s">
        <v>22</v>
      </c>
      <c r="H22" s="49" t="s">
        <v>23</v>
      </c>
      <c r="I22" s="49" t="s">
        <v>24</v>
      </c>
      <c r="J22" s="50" t="s">
        <v>25</v>
      </c>
    </row>
    <row r="23" spans="1:14" ht="45.75" thickBot="1">
      <c r="A23" s="82">
        <v>1</v>
      </c>
      <c r="B23" s="82" t="s">
        <v>145</v>
      </c>
      <c r="C23" s="82">
        <v>20</v>
      </c>
      <c r="D23" s="82">
        <v>32</v>
      </c>
      <c r="E23" s="94" t="s">
        <v>146</v>
      </c>
      <c r="F23" s="82">
        <v>27187</v>
      </c>
      <c r="G23" s="82">
        <v>36613</v>
      </c>
      <c r="H23" s="82" t="s">
        <v>147</v>
      </c>
      <c r="I23" s="82">
        <v>8391841</v>
      </c>
      <c r="J23" s="82" t="s">
        <v>136</v>
      </c>
    </row>
    <row r="24" spans="1:14" ht="15.75" thickBot="1">
      <c r="A24" s="82"/>
      <c r="B24" s="82"/>
      <c r="C24" s="82"/>
      <c r="D24" s="82">
        <f>SUM(D23:D23)</f>
        <v>32</v>
      </c>
      <c r="E24" s="82"/>
      <c r="F24" s="82">
        <f>SUM(F23:F23)</f>
        <v>27187</v>
      </c>
      <c r="G24" s="82"/>
      <c r="H24" s="82"/>
      <c r="I24" s="82"/>
      <c r="J24" s="82"/>
    </row>
    <row r="25" spans="1:14" ht="33" customHeight="1" thickBot="1">
      <c r="A25" s="30">
        <v>1</v>
      </c>
      <c r="B25" s="95" t="s">
        <v>26</v>
      </c>
      <c r="C25" s="95"/>
      <c r="D25" s="95"/>
      <c r="E25" s="95"/>
      <c r="F25" s="95"/>
      <c r="G25" s="95"/>
      <c r="H25" s="95"/>
      <c r="I25" s="95"/>
      <c r="J25" s="95"/>
    </row>
    <row r="26" spans="1:14" ht="15.75" thickBot="1">
      <c r="A26" s="30">
        <v>2</v>
      </c>
      <c r="B26" s="95" t="s">
        <v>27</v>
      </c>
      <c r="C26" s="95"/>
      <c r="D26" s="95"/>
      <c r="E26" s="95"/>
      <c r="F26" s="95"/>
      <c r="G26" s="95"/>
      <c r="H26" s="95"/>
      <c r="I26" s="95"/>
      <c r="J26" s="95"/>
      <c r="N26" s="79"/>
    </row>
    <row r="27" spans="1:14" ht="27.75" customHeight="1" thickBot="1">
      <c r="A27" s="30">
        <v>3</v>
      </c>
      <c r="B27" s="95" t="s">
        <v>28</v>
      </c>
      <c r="C27" s="95"/>
      <c r="D27" s="95"/>
      <c r="E27" s="95"/>
      <c r="F27" s="95"/>
      <c r="G27" s="95"/>
      <c r="H27" s="95"/>
      <c r="I27" s="95"/>
      <c r="J27" s="95"/>
    </row>
    <row r="28" spans="1:14" ht="15.75" thickBot="1">
      <c r="A28" s="31">
        <v>4</v>
      </c>
      <c r="B28" s="97" t="s">
        <v>29</v>
      </c>
      <c r="C28" s="97"/>
      <c r="D28" s="97"/>
      <c r="E28" s="97"/>
      <c r="F28" s="97"/>
      <c r="G28" s="97"/>
      <c r="H28" s="97"/>
      <c r="I28" s="97"/>
      <c r="J28" s="97"/>
    </row>
    <row r="29" spans="1:14" ht="30" customHeight="1" thickBot="1">
      <c r="A29" s="31">
        <v>5</v>
      </c>
      <c r="B29" s="95" t="s">
        <v>30</v>
      </c>
      <c r="C29" s="95"/>
      <c r="D29" s="95"/>
      <c r="E29" s="95"/>
      <c r="F29" s="95"/>
      <c r="G29" s="95"/>
      <c r="H29" s="95"/>
      <c r="I29" s="95"/>
      <c r="J29" s="95"/>
    </row>
    <row r="30" spans="1:14" ht="41.25" customHeight="1" thickBot="1">
      <c r="A30" s="31">
        <v>6</v>
      </c>
      <c r="B30" s="95" t="s">
        <v>31</v>
      </c>
      <c r="C30" s="95"/>
      <c r="D30" s="95"/>
      <c r="E30" s="95"/>
      <c r="F30" s="95"/>
      <c r="G30" s="95"/>
      <c r="H30" s="95"/>
      <c r="I30" s="95"/>
      <c r="J30" s="95"/>
    </row>
    <row r="31" spans="1:14" ht="15.75">
      <c r="A31" s="10" t="s">
        <v>32</v>
      </c>
      <c r="B31" s="2"/>
      <c r="C31" s="2"/>
      <c r="D31" s="2"/>
      <c r="E31" s="2"/>
      <c r="F31" s="2"/>
      <c r="G31" s="2"/>
      <c r="H31" s="2"/>
      <c r="I31" s="2"/>
      <c r="J31" s="44" t="s">
        <v>148</v>
      </c>
    </row>
    <row r="32" spans="1:14">
      <c r="A32" s="3"/>
      <c r="B32" s="4"/>
      <c r="C32" s="4"/>
      <c r="D32" s="4"/>
      <c r="E32" s="4"/>
      <c r="F32" s="4"/>
      <c r="G32" s="4"/>
      <c r="H32" s="4"/>
      <c r="I32" s="4"/>
      <c r="J32" s="39"/>
    </row>
    <row r="33" spans="1:10" ht="21">
      <c r="A33" s="32" t="s">
        <v>139</v>
      </c>
      <c r="B33" s="4"/>
      <c r="C33" s="4"/>
      <c r="D33" s="4"/>
      <c r="E33" s="4"/>
      <c r="F33" s="4"/>
      <c r="G33" s="4"/>
      <c r="H33" s="4"/>
      <c r="I33" s="45"/>
      <c r="J33" s="38"/>
    </row>
    <row r="34" spans="1:10">
      <c r="A34" s="3"/>
      <c r="B34" s="4"/>
      <c r="C34" s="4"/>
      <c r="D34" s="4"/>
      <c r="E34" s="4"/>
      <c r="F34" s="4"/>
      <c r="G34" s="4"/>
      <c r="H34" s="4"/>
      <c r="I34" s="4"/>
      <c r="J34" s="39" t="s">
        <v>33</v>
      </c>
    </row>
    <row r="35" spans="1:10" ht="15.75" thickBot="1">
      <c r="A35" s="14" t="s">
        <v>135</v>
      </c>
      <c r="B35" s="15"/>
      <c r="C35" s="15"/>
      <c r="D35" s="15"/>
      <c r="E35" s="15"/>
      <c r="F35" s="15"/>
      <c r="G35" s="15"/>
      <c r="H35" s="15"/>
      <c r="I35" s="15"/>
      <c r="J35" s="46" t="s">
        <v>34</v>
      </c>
    </row>
    <row r="36" spans="1:10" ht="15.75" thickBot="1">
      <c r="A36" s="3"/>
      <c r="B36" s="4"/>
      <c r="C36" s="4"/>
      <c r="D36" s="4"/>
      <c r="E36" s="4"/>
      <c r="F36" s="4"/>
      <c r="G36" s="4"/>
      <c r="H36" s="4"/>
      <c r="I36" s="4"/>
      <c r="J36" s="38"/>
    </row>
    <row r="37" spans="1:10">
      <c r="A37" s="10" t="s">
        <v>35</v>
      </c>
      <c r="B37" s="33"/>
      <c r="C37" s="33"/>
      <c r="D37" s="33"/>
      <c r="E37" s="33"/>
      <c r="F37" s="33"/>
      <c r="G37" s="33"/>
      <c r="H37" s="33"/>
      <c r="I37" s="33"/>
      <c r="J37" s="47"/>
    </row>
    <row r="38" spans="1:10" ht="15.75" thickBot="1">
      <c r="A38" s="14" t="s">
        <v>36</v>
      </c>
      <c r="B38" s="34"/>
      <c r="C38" s="34"/>
      <c r="D38" s="34"/>
      <c r="E38" s="34"/>
      <c r="F38" s="34"/>
      <c r="G38" s="34"/>
      <c r="H38" s="34"/>
      <c r="I38" s="34"/>
      <c r="J38" s="48"/>
    </row>
    <row r="39" spans="1:10" ht="15.75" thickBot="1">
      <c r="A39" s="35"/>
      <c r="B39" s="15"/>
      <c r="C39" s="15"/>
      <c r="D39" s="15"/>
      <c r="E39" s="15"/>
      <c r="F39" s="15"/>
      <c r="G39" s="15"/>
      <c r="H39" s="15"/>
      <c r="I39" s="15"/>
      <c r="J39" s="13"/>
    </row>
    <row r="44" spans="1:10" ht="18">
      <c r="B44" s="98"/>
      <c r="C44" s="98"/>
      <c r="D44" s="98"/>
      <c r="E44" s="98"/>
      <c r="F44" s="98"/>
      <c r="G44" s="98"/>
    </row>
    <row r="45" spans="1:10" ht="18">
      <c r="B45" s="36"/>
      <c r="C45" s="36"/>
      <c r="D45" s="36"/>
      <c r="E45" s="36"/>
      <c r="F45" s="36"/>
      <c r="G45" s="36"/>
      <c r="H45" s="4"/>
      <c r="I45" s="4"/>
    </row>
    <row r="46" spans="1:10">
      <c r="B46" s="96"/>
      <c r="C46" s="96"/>
      <c r="D46" s="96"/>
      <c r="E46" s="96"/>
      <c r="F46" s="96"/>
      <c r="G46" s="96"/>
    </row>
    <row r="48" spans="1:10" ht="18">
      <c r="B48" s="37"/>
    </row>
    <row r="49" spans="2:2" ht="18">
      <c r="B49" s="37"/>
    </row>
  </sheetData>
  <mergeCells count="23">
    <mergeCell ref="C7:G7"/>
    <mergeCell ref="A11:J11"/>
    <mergeCell ref="A18:E18"/>
    <mergeCell ref="H1:J1"/>
    <mergeCell ref="C2:G2"/>
    <mergeCell ref="H2:J2"/>
    <mergeCell ref="C3:G3"/>
    <mergeCell ref="H3:J3"/>
    <mergeCell ref="C1:G1"/>
    <mergeCell ref="H4:J4"/>
    <mergeCell ref="I5:J5"/>
    <mergeCell ref="C6:G6"/>
    <mergeCell ref="I6:J6"/>
    <mergeCell ref="H5:H6"/>
    <mergeCell ref="C4:G4"/>
    <mergeCell ref="B25:J25"/>
    <mergeCell ref="B26:J26"/>
    <mergeCell ref="B46:G46"/>
    <mergeCell ref="B27:J27"/>
    <mergeCell ref="B28:J28"/>
    <mergeCell ref="B29:J29"/>
    <mergeCell ref="B30:J30"/>
    <mergeCell ref="B44:G44"/>
  </mergeCells>
  <printOptions horizontalCentered="1" verticalCentered="1"/>
  <pageMargins left="0.25" right="0.25"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
  <sheetViews>
    <sheetView view="pageBreakPreview" zoomScaleSheetLayoutView="100" workbookViewId="0">
      <selection activeCell="H12" sqref="H12"/>
    </sheetView>
  </sheetViews>
  <sheetFormatPr defaultRowHeight="15.75"/>
  <cols>
    <col min="1" max="1" width="6" style="67" bestFit="1" customWidth="1"/>
    <col min="2" max="2" width="14.5703125" style="67" bestFit="1" customWidth="1"/>
    <col min="3" max="3" width="5.7109375" style="67" customWidth="1"/>
    <col min="4" max="4" width="18.5703125" style="67" bestFit="1" customWidth="1"/>
    <col min="5" max="5" width="17.85546875" style="67" bestFit="1" customWidth="1"/>
    <col min="6" max="6" width="16.28515625" style="67" bestFit="1" customWidth="1"/>
    <col min="7" max="7" width="20.42578125" style="67" bestFit="1" customWidth="1"/>
    <col min="8" max="8" width="9" style="67" bestFit="1" customWidth="1"/>
    <col min="9" max="9" width="12" style="67" customWidth="1"/>
    <col min="10" max="16384" width="9.140625" style="67"/>
  </cols>
  <sheetData>
    <row r="1" spans="1:9" ht="16.5" thickBot="1">
      <c r="A1" s="80"/>
      <c r="B1" s="80"/>
      <c r="C1" s="80"/>
      <c r="D1" s="80"/>
      <c r="E1" s="80"/>
      <c r="F1" s="80"/>
      <c r="G1" s="80"/>
      <c r="H1" s="80"/>
      <c r="I1" s="80"/>
    </row>
    <row r="2" spans="1:9" ht="32.25" customHeight="1" thickBot="1">
      <c r="A2" s="52" t="s">
        <v>16</v>
      </c>
      <c r="B2" s="52" t="s">
        <v>17</v>
      </c>
      <c r="C2" s="52" t="s">
        <v>18</v>
      </c>
      <c r="D2" s="52" t="s">
        <v>19</v>
      </c>
      <c r="E2" s="52" t="s">
        <v>21</v>
      </c>
      <c r="F2" s="52" t="s">
        <v>22</v>
      </c>
      <c r="G2" s="52" t="s">
        <v>23</v>
      </c>
      <c r="H2" s="52" t="s">
        <v>24</v>
      </c>
      <c r="I2" s="52" t="s">
        <v>25</v>
      </c>
    </row>
    <row r="3" spans="1:9" ht="16.5" thickBot="1">
      <c r="A3" s="81">
        <v>1</v>
      </c>
      <c r="B3" s="81" t="s">
        <v>99</v>
      </c>
      <c r="C3" s="81">
        <v>20</v>
      </c>
      <c r="D3" s="81">
        <v>6</v>
      </c>
      <c r="E3" s="81">
        <v>21252</v>
      </c>
      <c r="F3" s="81" t="s">
        <v>101</v>
      </c>
      <c r="G3" s="81" t="s">
        <v>100</v>
      </c>
      <c r="H3" s="81">
        <v>7354083</v>
      </c>
      <c r="I3" s="81" t="s">
        <v>129</v>
      </c>
    </row>
    <row r="4" spans="1:9" ht="16.5" thickBot="1">
      <c r="A4" s="81">
        <v>2</v>
      </c>
      <c r="B4" s="81" t="s">
        <v>102</v>
      </c>
      <c r="C4" s="81">
        <v>20</v>
      </c>
      <c r="D4" s="81">
        <v>6</v>
      </c>
      <c r="E4" s="81">
        <v>21252</v>
      </c>
      <c r="F4" s="81" t="s">
        <v>104</v>
      </c>
      <c r="G4" s="81" t="s">
        <v>103</v>
      </c>
      <c r="H4" s="81">
        <v>7354083</v>
      </c>
      <c r="I4" s="81" t="s">
        <v>129</v>
      </c>
    </row>
    <row r="5" spans="1:9" ht="16.5" thickBot="1">
      <c r="A5" s="81">
        <v>3</v>
      </c>
      <c r="B5" s="81" t="s">
        <v>105</v>
      </c>
      <c r="C5" s="81">
        <v>20</v>
      </c>
      <c r="D5" s="81">
        <v>6</v>
      </c>
      <c r="E5" s="81">
        <v>21252</v>
      </c>
      <c r="F5" s="81" t="s">
        <v>107</v>
      </c>
      <c r="G5" s="81" t="s">
        <v>106</v>
      </c>
      <c r="H5" s="81">
        <v>7354083</v>
      </c>
      <c r="I5" s="81" t="s">
        <v>129</v>
      </c>
    </row>
    <row r="6" spans="1:9" ht="16.5" thickBot="1">
      <c r="A6" s="81">
        <v>4</v>
      </c>
      <c r="B6" s="81" t="s">
        <v>108</v>
      </c>
      <c r="C6" s="81">
        <v>20</v>
      </c>
      <c r="D6" s="81">
        <v>6</v>
      </c>
      <c r="E6" s="81">
        <v>21606</v>
      </c>
      <c r="F6" s="81" t="s">
        <v>110</v>
      </c>
      <c r="G6" s="81" t="s">
        <v>109</v>
      </c>
      <c r="H6" s="81">
        <v>7354083</v>
      </c>
      <c r="I6" s="81" t="s">
        <v>129</v>
      </c>
    </row>
    <row r="7" spans="1:9" ht="16.5" thickBot="1">
      <c r="A7" s="81">
        <v>5</v>
      </c>
      <c r="B7" s="81" t="s">
        <v>111</v>
      </c>
      <c r="C7" s="81">
        <v>20</v>
      </c>
      <c r="D7" s="81">
        <v>6</v>
      </c>
      <c r="E7" s="81">
        <v>21606</v>
      </c>
      <c r="F7" s="81" t="s">
        <v>113</v>
      </c>
      <c r="G7" s="81" t="s">
        <v>112</v>
      </c>
      <c r="H7" s="81">
        <v>7354083</v>
      </c>
      <c r="I7" s="81" t="s">
        <v>129</v>
      </c>
    </row>
    <row r="8" spans="1:9" ht="16.5" thickBot="1">
      <c r="A8" s="81">
        <v>6</v>
      </c>
      <c r="B8" s="81" t="s">
        <v>114</v>
      </c>
      <c r="C8" s="81">
        <v>20</v>
      </c>
      <c r="D8" s="81">
        <v>7</v>
      </c>
      <c r="E8" s="81">
        <v>24430</v>
      </c>
      <c r="F8" s="81" t="s">
        <v>116</v>
      </c>
      <c r="G8" s="81" t="s">
        <v>115</v>
      </c>
      <c r="H8" s="81">
        <v>7405128</v>
      </c>
      <c r="I8" s="81" t="s">
        <v>130</v>
      </c>
    </row>
    <row r="9" spans="1:9" ht="16.5" thickBot="1">
      <c r="A9" s="81">
        <v>7</v>
      </c>
      <c r="B9" s="81" t="s">
        <v>117</v>
      </c>
      <c r="C9" s="81">
        <v>20</v>
      </c>
      <c r="D9" s="81">
        <v>7</v>
      </c>
      <c r="E9" s="81">
        <v>24430</v>
      </c>
      <c r="F9" s="81" t="s">
        <v>119</v>
      </c>
      <c r="G9" s="81" t="s">
        <v>118</v>
      </c>
      <c r="H9" s="81">
        <v>7405128</v>
      </c>
      <c r="I9" s="81" t="s">
        <v>130</v>
      </c>
    </row>
    <row r="10" spans="1:9" ht="16.5" thickBot="1">
      <c r="A10" s="81">
        <v>8</v>
      </c>
      <c r="B10" s="81" t="s">
        <v>120</v>
      </c>
      <c r="C10" s="81">
        <v>20</v>
      </c>
      <c r="D10" s="81">
        <v>7</v>
      </c>
      <c r="E10" s="81">
        <v>24430</v>
      </c>
      <c r="F10" s="81" t="s">
        <v>122</v>
      </c>
      <c r="G10" s="81" t="s">
        <v>121</v>
      </c>
      <c r="H10" s="81">
        <v>7405128</v>
      </c>
      <c r="I10" s="81" t="s">
        <v>130</v>
      </c>
    </row>
    <row r="11" spans="1:9" ht="16.5" thickBot="1">
      <c r="A11" s="81">
        <v>9</v>
      </c>
      <c r="B11" s="81" t="s">
        <v>123</v>
      </c>
      <c r="C11" s="81">
        <v>20</v>
      </c>
      <c r="D11" s="81">
        <v>12</v>
      </c>
      <c r="E11" s="81">
        <v>26496</v>
      </c>
      <c r="F11" s="81" t="s">
        <v>125</v>
      </c>
      <c r="G11" s="81" t="s">
        <v>124</v>
      </c>
      <c r="H11" s="81">
        <v>7405128</v>
      </c>
      <c r="I11" s="81" t="s">
        <v>130</v>
      </c>
    </row>
    <row r="12" spans="1:9" ht="16.5" thickBot="1">
      <c r="A12" s="81">
        <v>10</v>
      </c>
      <c r="B12" s="81" t="s">
        <v>126</v>
      </c>
      <c r="C12" s="81">
        <v>20</v>
      </c>
      <c r="D12" s="81">
        <v>6</v>
      </c>
      <c r="E12" s="81">
        <v>21606</v>
      </c>
      <c r="F12" s="81">
        <v>35689</v>
      </c>
      <c r="G12" s="81" t="s">
        <v>131</v>
      </c>
      <c r="H12" s="81">
        <v>7405128</v>
      </c>
      <c r="I12" s="81" t="s">
        <v>130</v>
      </c>
    </row>
    <row r="13" spans="1:9" ht="16.5" thickBot="1">
      <c r="A13" s="81"/>
      <c r="B13" s="81" t="s">
        <v>95</v>
      </c>
      <c r="C13" s="81"/>
      <c r="D13" s="81">
        <f>SUM(D3:D12)</f>
        <v>69</v>
      </c>
      <c r="E13" s="81">
        <f>SUM(E3:E12)</f>
        <v>228360</v>
      </c>
      <c r="F13" s="81"/>
      <c r="G13" s="81"/>
      <c r="H13" s="81"/>
      <c r="I13" s="81"/>
    </row>
  </sheetData>
  <pageMargins left="0.25" right="0.2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view="pageBreakPreview" zoomScale="130" zoomScaleSheetLayoutView="130" workbookViewId="0">
      <selection activeCell="C4" sqref="C4:C13"/>
    </sheetView>
  </sheetViews>
  <sheetFormatPr defaultRowHeight="15"/>
  <cols>
    <col min="1" max="1" width="12.85546875" bestFit="1" customWidth="1"/>
    <col min="2" max="2" width="17.5703125" bestFit="1" customWidth="1"/>
    <col min="3" max="3" width="14" bestFit="1" customWidth="1"/>
    <col min="4" max="4" width="14.7109375" bestFit="1" customWidth="1"/>
    <col min="5" max="5" width="19.28515625" bestFit="1" customWidth="1"/>
    <col min="6" max="6" width="19" bestFit="1" customWidth="1"/>
    <col min="7" max="7" width="22.140625" bestFit="1" customWidth="1"/>
  </cols>
  <sheetData>
    <row r="1" spans="1:7" ht="15.75" thickBot="1">
      <c r="A1" s="52"/>
      <c r="B1" s="52"/>
      <c r="C1" s="52"/>
      <c r="D1" s="52"/>
      <c r="E1" s="52"/>
      <c r="F1" s="52"/>
      <c r="G1" s="52"/>
    </row>
    <row r="2" spans="1:7" ht="15.75" customHeight="1">
      <c r="A2" s="119" t="s">
        <v>96</v>
      </c>
      <c r="B2" s="119"/>
      <c r="C2" s="119"/>
      <c r="D2" s="119"/>
      <c r="E2" s="120"/>
      <c r="F2" s="84" t="s">
        <v>97</v>
      </c>
      <c r="G2" s="83"/>
    </row>
    <row r="3" spans="1:7" ht="31.5">
      <c r="A3" s="85" t="s">
        <v>37</v>
      </c>
      <c r="B3" s="86" t="s">
        <v>68</v>
      </c>
      <c r="C3" s="86" t="s">
        <v>39</v>
      </c>
      <c r="D3" s="86" t="s">
        <v>40</v>
      </c>
      <c r="E3" s="86" t="s">
        <v>41</v>
      </c>
      <c r="F3" s="86" t="s">
        <v>98</v>
      </c>
      <c r="G3" s="86" t="s">
        <v>43</v>
      </c>
    </row>
    <row r="4" spans="1:7" ht="15.75">
      <c r="A4" s="87">
        <v>1</v>
      </c>
      <c r="B4" s="88" t="s">
        <v>99</v>
      </c>
      <c r="C4" s="88" t="s">
        <v>100</v>
      </c>
      <c r="D4" s="88" t="s">
        <v>101</v>
      </c>
      <c r="E4" s="88">
        <v>6</v>
      </c>
      <c r="F4" s="88">
        <v>21252</v>
      </c>
      <c r="G4" s="88">
        <v>20964</v>
      </c>
    </row>
    <row r="5" spans="1:7" ht="15.75">
      <c r="A5" s="87">
        <v>2</v>
      </c>
      <c r="B5" s="88" t="s">
        <v>102</v>
      </c>
      <c r="C5" s="88" t="s">
        <v>103</v>
      </c>
      <c r="D5" s="88" t="s">
        <v>104</v>
      </c>
      <c r="E5" s="88">
        <v>6</v>
      </c>
      <c r="F5" s="88">
        <v>21252</v>
      </c>
      <c r="G5" s="88">
        <v>20964</v>
      </c>
    </row>
    <row r="6" spans="1:7" ht="15.75">
      <c r="A6" s="87">
        <v>3</v>
      </c>
      <c r="B6" s="88" t="s">
        <v>105</v>
      </c>
      <c r="C6" s="88" t="s">
        <v>106</v>
      </c>
      <c r="D6" s="88" t="s">
        <v>107</v>
      </c>
      <c r="E6" s="88">
        <v>6</v>
      </c>
      <c r="F6" s="88">
        <v>21252</v>
      </c>
      <c r="G6" s="88">
        <v>20964</v>
      </c>
    </row>
    <row r="7" spans="1:7" ht="15.75">
      <c r="A7" s="87">
        <v>4</v>
      </c>
      <c r="B7" s="88" t="s">
        <v>108</v>
      </c>
      <c r="C7" s="88" t="s">
        <v>109</v>
      </c>
      <c r="D7" s="88" t="s">
        <v>110</v>
      </c>
      <c r="E7" s="88">
        <v>6</v>
      </c>
      <c r="F7" s="88">
        <v>21606</v>
      </c>
      <c r="G7" s="88">
        <v>21318</v>
      </c>
    </row>
    <row r="8" spans="1:7" ht="15.75">
      <c r="A8" s="87">
        <v>5</v>
      </c>
      <c r="B8" s="88" t="s">
        <v>111</v>
      </c>
      <c r="C8" s="88" t="s">
        <v>112</v>
      </c>
      <c r="D8" s="88" t="s">
        <v>113</v>
      </c>
      <c r="E8" s="88">
        <v>6</v>
      </c>
      <c r="F8" s="88">
        <v>21606</v>
      </c>
      <c r="G8" s="88">
        <v>21318</v>
      </c>
    </row>
    <row r="9" spans="1:7" ht="15.75">
      <c r="A9" s="87">
        <v>6</v>
      </c>
      <c r="B9" s="88" t="s">
        <v>114</v>
      </c>
      <c r="C9" s="89" t="s">
        <v>115</v>
      </c>
      <c r="D9" s="90" t="s">
        <v>116</v>
      </c>
      <c r="E9" s="88">
        <v>7</v>
      </c>
      <c r="F9" s="88">
        <v>24430</v>
      </c>
      <c r="G9" s="88">
        <v>23908</v>
      </c>
    </row>
    <row r="10" spans="1:7" ht="15.75">
      <c r="A10" s="87">
        <v>7</v>
      </c>
      <c r="B10" s="88" t="s">
        <v>117</v>
      </c>
      <c r="C10" s="89" t="s">
        <v>118</v>
      </c>
      <c r="D10" s="90" t="s">
        <v>119</v>
      </c>
      <c r="E10" s="88">
        <v>7</v>
      </c>
      <c r="F10" s="88">
        <v>24430</v>
      </c>
      <c r="G10" s="88">
        <v>23908</v>
      </c>
    </row>
    <row r="11" spans="1:7" ht="15.75">
      <c r="A11" s="87">
        <v>8</v>
      </c>
      <c r="B11" s="88" t="s">
        <v>120</v>
      </c>
      <c r="C11" s="89" t="s">
        <v>121</v>
      </c>
      <c r="D11" s="90" t="s">
        <v>122</v>
      </c>
      <c r="E11" s="88">
        <v>7</v>
      </c>
      <c r="F11" s="88">
        <v>24430</v>
      </c>
      <c r="G11" s="88">
        <v>23908</v>
      </c>
    </row>
    <row r="12" spans="1:7" ht="15.75">
      <c r="A12" s="87">
        <v>9</v>
      </c>
      <c r="B12" s="88" t="s">
        <v>123</v>
      </c>
      <c r="C12" s="89" t="s">
        <v>124</v>
      </c>
      <c r="D12" s="90" t="s">
        <v>125</v>
      </c>
      <c r="E12" s="88">
        <v>12</v>
      </c>
      <c r="F12" s="88">
        <v>26496</v>
      </c>
      <c r="G12" s="88">
        <v>25749</v>
      </c>
    </row>
    <row r="13" spans="1:7" ht="15.75">
      <c r="A13" s="87">
        <v>10</v>
      </c>
      <c r="B13" s="88" t="s">
        <v>126</v>
      </c>
      <c r="C13" s="89" t="s">
        <v>127</v>
      </c>
      <c r="D13" s="90" t="s">
        <v>128</v>
      </c>
      <c r="E13" s="88">
        <v>6</v>
      </c>
      <c r="F13" s="88">
        <v>21606</v>
      </c>
      <c r="G13" s="88">
        <v>21318</v>
      </c>
    </row>
    <row r="14" spans="1:7" ht="15.75">
      <c r="A14" s="87"/>
      <c r="B14" s="91"/>
      <c r="C14" s="92"/>
      <c r="D14" s="91"/>
      <c r="E14" s="93">
        <v>69</v>
      </c>
      <c r="F14" s="93">
        <v>228360</v>
      </c>
      <c r="G14" s="93">
        <v>224319</v>
      </c>
    </row>
    <row r="15" spans="1:7" ht="15.75" thickBot="1">
      <c r="A15" s="52"/>
      <c r="B15" s="52"/>
      <c r="C15" s="52"/>
      <c r="D15" s="52"/>
      <c r="E15" s="52"/>
      <c r="F15" s="52"/>
      <c r="G15" s="52"/>
    </row>
    <row r="16" spans="1:7" ht="15.75" thickBot="1">
      <c r="A16" s="52"/>
      <c r="B16" s="52"/>
      <c r="C16" s="52"/>
      <c r="D16" s="52"/>
      <c r="E16" s="52"/>
      <c r="F16" s="52"/>
      <c r="G16" s="52"/>
    </row>
    <row r="17" spans="1:7" ht="15.75" thickBot="1">
      <c r="A17" s="52"/>
      <c r="B17" s="52"/>
      <c r="C17" s="52"/>
      <c r="D17" s="52"/>
      <c r="E17" s="52"/>
      <c r="F17" s="52"/>
      <c r="G17" s="52"/>
    </row>
    <row r="18" spans="1:7" ht="15.75" thickBot="1">
      <c r="A18" s="52"/>
      <c r="B18" s="52"/>
      <c r="C18" s="52"/>
      <c r="D18" s="52"/>
      <c r="E18" s="52"/>
      <c r="F18" s="52"/>
      <c r="G18" s="52"/>
    </row>
    <row r="19" spans="1:7" ht="15.75" thickBot="1">
      <c r="A19" s="52"/>
      <c r="B19" s="52"/>
      <c r="C19" s="52"/>
      <c r="D19" s="52"/>
      <c r="E19" s="52"/>
      <c r="F19" s="52"/>
      <c r="G19" s="52"/>
    </row>
    <row r="20" spans="1:7" ht="15.75" thickBot="1">
      <c r="A20" s="52"/>
      <c r="B20" s="52"/>
      <c r="C20" s="52"/>
      <c r="D20" s="52"/>
      <c r="E20" s="52"/>
      <c r="F20" s="52"/>
      <c r="G20" s="52"/>
    </row>
    <row r="21" spans="1:7" ht="15.75" thickBot="1">
      <c r="A21" s="52"/>
      <c r="B21" s="52"/>
      <c r="C21" s="52"/>
      <c r="D21" s="52"/>
      <c r="E21" s="52"/>
      <c r="F21" s="52"/>
      <c r="G21" s="52"/>
    </row>
    <row r="22" spans="1:7" ht="15.75" thickBot="1">
      <c r="A22" s="52"/>
      <c r="B22" s="52"/>
      <c r="C22" s="52"/>
      <c r="D22" s="52"/>
      <c r="E22" s="52"/>
      <c r="F22" s="52"/>
      <c r="G22" s="52"/>
    </row>
    <row r="23" spans="1:7" ht="15.75" thickBot="1">
      <c r="A23" s="52"/>
      <c r="B23" s="52"/>
      <c r="C23" s="52"/>
      <c r="D23" s="52"/>
      <c r="E23" s="52"/>
      <c r="F23" s="52"/>
      <c r="G23" s="52"/>
    </row>
  </sheetData>
  <mergeCells count="1">
    <mergeCell ref="A2:E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I15"/>
  <sheetViews>
    <sheetView view="pageBreakPreview" zoomScaleSheetLayoutView="100" workbookViewId="0">
      <selection activeCell="A2" sqref="A2:H16"/>
    </sheetView>
  </sheetViews>
  <sheetFormatPr defaultColWidth="42.42578125" defaultRowHeight="21"/>
  <cols>
    <col min="1" max="1" width="17.7109375" style="69" bestFit="1" customWidth="1"/>
    <col min="2" max="2" width="3.5703125" style="69" bestFit="1" customWidth="1"/>
    <col min="3" max="3" width="15.42578125" style="69" bestFit="1" customWidth="1"/>
    <col min="4" max="4" width="9.42578125" style="69" bestFit="1" customWidth="1"/>
    <col min="5" max="5" width="14" style="69" bestFit="1" customWidth="1"/>
    <col min="6" max="6" width="12.42578125" style="69" bestFit="1" customWidth="1"/>
    <col min="7" max="7" width="10.7109375" style="69" bestFit="1" customWidth="1"/>
    <col min="8" max="8" width="13.5703125" style="69" customWidth="1"/>
    <col min="9" max="9" width="12.28515625" style="69" bestFit="1" customWidth="1"/>
    <col min="10" max="16384" width="42.42578125" style="68"/>
  </cols>
  <sheetData>
    <row r="4" spans="2:8" ht="21.75" thickBot="1">
      <c r="B4" s="70"/>
      <c r="C4" s="71"/>
      <c r="D4" s="71"/>
      <c r="E4" s="71"/>
      <c r="F4" s="71"/>
      <c r="G4" s="71"/>
      <c r="H4" s="71"/>
    </row>
    <row r="5" spans="2:8" ht="21.75" thickBot="1">
      <c r="B5" s="72"/>
      <c r="C5" s="73"/>
      <c r="D5" s="73"/>
      <c r="E5" s="73"/>
      <c r="F5" s="73"/>
      <c r="G5" s="73"/>
      <c r="H5" s="73"/>
    </row>
    <row r="6" spans="2:8" ht="21.75" thickBot="1">
      <c r="B6" s="72"/>
      <c r="C6" s="73"/>
      <c r="D6" s="73"/>
      <c r="E6" s="73"/>
      <c r="F6" s="73"/>
      <c r="G6" s="73"/>
      <c r="H6" s="73"/>
    </row>
    <row r="7" spans="2:8" ht="21.75" thickBot="1">
      <c r="B7" s="72"/>
      <c r="C7" s="73"/>
      <c r="D7" s="73"/>
      <c r="E7" s="73"/>
      <c r="F7" s="73"/>
      <c r="G7" s="73"/>
      <c r="H7" s="73"/>
    </row>
    <row r="8" spans="2:8" ht="21.75" thickBot="1">
      <c r="B8" s="72"/>
      <c r="C8" s="73"/>
      <c r="D8" s="73"/>
      <c r="E8" s="73"/>
      <c r="F8" s="73"/>
      <c r="G8" s="73"/>
      <c r="H8" s="73"/>
    </row>
    <row r="9" spans="2:8" ht="21.75" thickBot="1">
      <c r="B9" s="72"/>
      <c r="C9" s="73"/>
      <c r="D9" s="73"/>
      <c r="E9" s="73"/>
      <c r="F9" s="73"/>
      <c r="G9" s="73"/>
      <c r="H9" s="73"/>
    </row>
    <row r="10" spans="2:8" ht="21.75" thickBot="1">
      <c r="B10" s="72"/>
      <c r="C10" s="73"/>
      <c r="D10" s="73"/>
      <c r="E10" s="73"/>
      <c r="F10" s="73"/>
      <c r="G10" s="73"/>
      <c r="H10" s="73"/>
    </row>
    <row r="11" spans="2:8" ht="21.75" thickBot="1">
      <c r="B11" s="72"/>
      <c r="C11" s="73"/>
      <c r="D11" s="73"/>
      <c r="E11" s="73"/>
      <c r="F11" s="73"/>
      <c r="G11" s="73"/>
      <c r="H11" s="73"/>
    </row>
    <row r="12" spans="2:8" ht="21.75" thickBot="1">
      <c r="B12" s="72"/>
      <c r="C12" s="73"/>
      <c r="D12" s="73"/>
      <c r="E12" s="73"/>
      <c r="F12" s="73"/>
      <c r="G12" s="73"/>
      <c r="H12" s="73"/>
    </row>
    <row r="13" spans="2:8" ht="21.75" thickBot="1">
      <c r="B13" s="72"/>
      <c r="C13" s="73"/>
      <c r="D13" s="73"/>
      <c r="E13" s="73"/>
      <c r="F13" s="73"/>
      <c r="G13" s="73"/>
      <c r="H13" s="73"/>
    </row>
    <row r="14" spans="2:8" ht="21.75" thickBot="1">
      <c r="B14" s="72"/>
      <c r="C14" s="73"/>
      <c r="D14" s="73"/>
      <c r="E14" s="73"/>
      <c r="F14" s="73"/>
      <c r="G14" s="73"/>
      <c r="H14" s="73"/>
    </row>
    <row r="15" spans="2:8" ht="21.75" thickBot="1">
      <c r="B15" s="74"/>
      <c r="C15" s="73"/>
      <c r="D15" s="73"/>
      <c r="E15" s="73"/>
      <c r="F15" s="73"/>
      <c r="G15" s="73"/>
      <c r="H15" s="73"/>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X43"/>
  <sheetViews>
    <sheetView topLeftCell="G31" workbookViewId="0">
      <selection activeCell="L52" sqref="L52"/>
    </sheetView>
  </sheetViews>
  <sheetFormatPr defaultRowHeight="15"/>
  <cols>
    <col min="2" max="2" width="10.140625" customWidth="1"/>
    <col min="3" max="3" width="11.28515625" customWidth="1"/>
    <col min="4" max="4" width="16.85546875" bestFit="1" customWidth="1"/>
    <col min="5" max="5" width="10.85546875" bestFit="1" customWidth="1"/>
    <col min="6" max="6" width="9.42578125" bestFit="1" customWidth="1"/>
    <col min="7" max="7" width="19.42578125" customWidth="1"/>
    <col min="8" max="8" width="15" customWidth="1"/>
    <col min="9" max="9" width="17" bestFit="1" customWidth="1"/>
    <col min="10" max="10" width="21.140625" customWidth="1"/>
    <col min="11" max="11" width="33.42578125" customWidth="1"/>
    <col min="12" max="12" width="29.5703125" customWidth="1"/>
    <col min="13" max="13" width="47.85546875" customWidth="1"/>
    <col min="14" max="14" width="27.5703125" customWidth="1"/>
  </cols>
  <sheetData>
    <row r="2" spans="16:24" ht="15.75" thickBot="1">
      <c r="R2" s="53" t="s">
        <v>37</v>
      </c>
      <c r="S2" s="54" t="s">
        <v>38</v>
      </c>
      <c r="T2" s="54" t="s">
        <v>39</v>
      </c>
      <c r="U2" s="54" t="s">
        <v>40</v>
      </c>
      <c r="V2" s="54" t="s">
        <v>41</v>
      </c>
      <c r="W2" s="54" t="s">
        <v>42</v>
      </c>
      <c r="X2" s="54" t="s">
        <v>43</v>
      </c>
    </row>
    <row r="3" spans="16:24" ht="15.75" thickBot="1">
      <c r="R3" s="51">
        <v>1</v>
      </c>
      <c r="S3" s="52" t="s">
        <v>45</v>
      </c>
      <c r="T3" s="52" t="s">
        <v>46</v>
      </c>
      <c r="U3" s="52" t="s">
        <v>47</v>
      </c>
      <c r="V3" s="52">
        <v>36</v>
      </c>
      <c r="W3" s="52">
        <v>19116</v>
      </c>
      <c r="X3" s="52">
        <v>17568</v>
      </c>
    </row>
    <row r="4" spans="16:24" ht="15.75" thickBot="1">
      <c r="R4" s="51">
        <v>2</v>
      </c>
      <c r="S4" s="52" t="s">
        <v>48</v>
      </c>
      <c r="T4" s="52" t="s">
        <v>49</v>
      </c>
      <c r="U4" s="52" t="s">
        <v>50</v>
      </c>
      <c r="V4" s="52">
        <v>29</v>
      </c>
      <c r="W4" s="52">
        <v>17050</v>
      </c>
      <c r="X4" s="52">
        <v>15752</v>
      </c>
    </row>
    <row r="5" spans="16:24" ht="15.75" thickBot="1">
      <c r="R5" s="51">
        <v>3</v>
      </c>
      <c r="S5" s="52" t="s">
        <v>51</v>
      </c>
      <c r="T5" s="52" t="s">
        <v>52</v>
      </c>
      <c r="U5" s="52" t="s">
        <v>53</v>
      </c>
      <c r="V5" s="52">
        <v>14</v>
      </c>
      <c r="W5" s="52">
        <v>20790</v>
      </c>
      <c r="X5" s="52">
        <v>19740</v>
      </c>
    </row>
    <row r="6" spans="16:24" ht="15.75" thickBot="1">
      <c r="R6" s="51">
        <v>4</v>
      </c>
      <c r="S6" s="52" t="s">
        <v>54</v>
      </c>
      <c r="T6" s="52" t="s">
        <v>55</v>
      </c>
      <c r="U6" s="52" t="s">
        <v>56</v>
      </c>
      <c r="V6" s="52">
        <v>9</v>
      </c>
      <c r="W6" s="52">
        <v>13781</v>
      </c>
      <c r="X6" s="52">
        <v>13126</v>
      </c>
    </row>
    <row r="7" spans="16:24" ht="15.75" thickBot="1">
      <c r="R7" s="51">
        <v>5</v>
      </c>
      <c r="S7" s="52" t="s">
        <v>57</v>
      </c>
      <c r="T7" s="52" t="s">
        <v>58</v>
      </c>
      <c r="U7" s="52" t="s">
        <v>59</v>
      </c>
      <c r="V7" s="52">
        <v>10</v>
      </c>
      <c r="W7" s="52">
        <v>18110</v>
      </c>
      <c r="X7" s="52">
        <v>17360</v>
      </c>
    </row>
    <row r="8" spans="16:24" ht="15.75" thickBot="1">
      <c r="R8" s="51">
        <v>6</v>
      </c>
      <c r="S8" s="52" t="s">
        <v>60</v>
      </c>
      <c r="T8" s="52" t="s">
        <v>61</v>
      </c>
      <c r="U8" s="52" t="s">
        <v>62</v>
      </c>
      <c r="V8" s="52">
        <v>11</v>
      </c>
      <c r="W8" s="52">
        <v>8065</v>
      </c>
      <c r="X8" s="52">
        <v>7553</v>
      </c>
    </row>
    <row r="9" spans="16:24" ht="15.75" thickBot="1">
      <c r="R9" s="51">
        <v>7</v>
      </c>
      <c r="S9" s="52" t="s">
        <v>63</v>
      </c>
      <c r="T9" s="52" t="s">
        <v>64</v>
      </c>
      <c r="U9" s="52" t="s">
        <v>65</v>
      </c>
      <c r="V9" s="52">
        <v>17</v>
      </c>
      <c r="W9" s="52">
        <v>8593</v>
      </c>
      <c r="X9" s="52">
        <v>7904</v>
      </c>
    </row>
    <row r="16" spans="16:24" ht="15.75" thickBot="1">
      <c r="P16" s="52"/>
    </row>
    <row r="40" spans="3:14" ht="15.75">
      <c r="C40" s="55" t="s">
        <v>67</v>
      </c>
      <c r="D40" s="56" t="s">
        <v>68</v>
      </c>
      <c r="E40" s="56" t="s">
        <v>69</v>
      </c>
      <c r="F40" s="56" t="s">
        <v>70</v>
      </c>
      <c r="G40" s="56" t="s">
        <v>71</v>
      </c>
      <c r="H40" s="56" t="s">
        <v>72</v>
      </c>
      <c r="I40" s="56" t="s">
        <v>73</v>
      </c>
      <c r="J40" s="56" t="s">
        <v>74</v>
      </c>
      <c r="K40" s="56" t="s">
        <v>75</v>
      </c>
      <c r="L40" s="56" t="s">
        <v>76</v>
      </c>
      <c r="M40" s="56" t="s">
        <v>77</v>
      </c>
      <c r="N40" s="56" t="s">
        <v>78</v>
      </c>
    </row>
    <row r="41" spans="3:14" ht="15.75">
      <c r="C41" s="57">
        <v>1</v>
      </c>
      <c r="D41" s="58" t="s">
        <v>89</v>
      </c>
      <c r="E41" s="59">
        <v>40</v>
      </c>
      <c r="F41" s="60" t="s">
        <v>90</v>
      </c>
      <c r="G41" s="58" t="s">
        <v>91</v>
      </c>
      <c r="H41" s="59">
        <v>36493821</v>
      </c>
      <c r="I41" s="58">
        <v>1</v>
      </c>
      <c r="J41" s="60" t="s">
        <v>92</v>
      </c>
      <c r="K41" s="60" t="s">
        <v>93</v>
      </c>
      <c r="L41" s="58" t="s">
        <v>79</v>
      </c>
      <c r="M41" s="58" t="s">
        <v>13</v>
      </c>
      <c r="N41" s="58" t="s">
        <v>80</v>
      </c>
    </row>
    <row r="42" spans="3:14" ht="30">
      <c r="C42" s="61" t="s">
        <v>81</v>
      </c>
      <c r="D42" s="62" t="s">
        <v>82</v>
      </c>
      <c r="E42" s="62" t="s">
        <v>66</v>
      </c>
      <c r="F42" s="62" t="s">
        <v>83</v>
      </c>
      <c r="G42" s="62" t="s">
        <v>84</v>
      </c>
      <c r="H42" s="62" t="s">
        <v>85</v>
      </c>
      <c r="I42" s="62" t="s">
        <v>86</v>
      </c>
      <c r="J42" s="62" t="s">
        <v>87</v>
      </c>
      <c r="K42" s="62" t="s">
        <v>12</v>
      </c>
      <c r="L42" s="62" t="s">
        <v>88</v>
      </c>
      <c r="M42" s="63"/>
      <c r="N42" s="63"/>
    </row>
    <row r="43" spans="3:14" ht="15.75">
      <c r="C43" s="64">
        <v>100091129</v>
      </c>
      <c r="D43" s="65">
        <v>45572</v>
      </c>
      <c r="E43" s="66">
        <v>4642594</v>
      </c>
      <c r="F43" s="65">
        <v>45572</v>
      </c>
      <c r="G43" s="66">
        <v>4</v>
      </c>
      <c r="H43" s="66">
        <v>27280</v>
      </c>
      <c r="I43" s="66">
        <v>28280</v>
      </c>
      <c r="J43" s="66" t="s">
        <v>93</v>
      </c>
      <c r="K43" s="66" t="s">
        <v>94</v>
      </c>
      <c r="L43" s="66" t="s">
        <v>80</v>
      </c>
      <c r="M43" s="63"/>
      <c r="N43" s="63"/>
    </row>
  </sheetData>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60" workbookViewId="0"/>
  </sheetViews>
  <sheetFormatPr defaultRowHeight="1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CFN</vt:lpstr>
      <vt:lpstr>Sheet2</vt:lpstr>
      <vt:lpstr>Sheet4</vt:lpstr>
      <vt:lpstr>Sheet5</vt:lpstr>
      <vt:lpstr>Sheet1</vt:lpstr>
      <vt:lpstr>Sheet3</vt:lpstr>
      <vt:lpstr>Sheet2!Print_Area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SOJITH</dc:creator>
  <cp:lastModifiedBy>Dipak Ravat</cp:lastModifiedBy>
  <cp:lastPrinted>2026-01-05T12:47:37Z</cp:lastPrinted>
  <dcterms:created xsi:type="dcterms:W3CDTF">2020-12-31T06:44:00Z</dcterms:created>
  <dcterms:modified xsi:type="dcterms:W3CDTF">2026-01-05T12:50:46Z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1033-12.2.0.13489</vt:lpwstr>
  </property>
  <property fmtid="{D5CDD505-2E9C-101B-9397-08002B2CF9AE}" pid="3" name="ICV">
    <vt:lpwstr>56B087763D2E473CA77F5359CFDA8DBC</vt:lpwstr>
  </property>
</Properties>
</file>